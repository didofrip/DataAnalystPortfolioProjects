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bout" sheetId="1" r:id="rId1"/>
    <sheet name="Production Model" sheetId="2" r:id="rId2"/>
    <sheet name="Answer Report" sheetId="6" r:id="rId3"/>
    <sheet name="Sensitivity Report" sheetId="4" r:id="rId4"/>
    <sheet name="Limits Report" sheetId="5" r:id="rId5"/>
  </sheets>
  <definedNames>
    <definedName name="solver_adj" localSheetId="1" hidden="1">'Production Model'!$B$15:$D$15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'Production Model'!$B$15:$D$15</definedName>
    <definedName name="solver_lhs2" localSheetId="1" hidden="1">'Production Model'!$B$15:$D$15</definedName>
    <definedName name="solver_lhs3" localSheetId="1" hidden="1">'Production Model'!$F$6:$F$9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'Production Model'!$B$17</definedName>
    <definedName name="solver_pre" localSheetId="1" hidden="1">0.000001</definedName>
    <definedName name="solver_rbv" localSheetId="1" hidden="1">2</definedName>
    <definedName name="solver_rel1" localSheetId="1" hidden="1">4</definedName>
    <definedName name="solver_rel2" localSheetId="1" hidden="1">3</definedName>
    <definedName name="solver_rel3" localSheetId="1" hidden="1">1</definedName>
    <definedName name="solver_rhs1" localSheetId="1" hidden="1">целое</definedName>
    <definedName name="solver_rhs2" localSheetId="1" hidden="1">0</definedName>
    <definedName name="solver_rhs3" localSheetId="1" hidden="1">'Production Model'!$G$6:$G$9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4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4" l="1"/>
  <c r="E15" i="4"/>
  <c r="E16" i="4"/>
  <c r="E13" i="4"/>
  <c r="E7" i="4"/>
  <c r="E6" i="4"/>
  <c r="E5" i="4"/>
  <c r="B17" i="2" l="1"/>
  <c r="F7" i="2"/>
  <c r="F8" i="2"/>
  <c r="F9" i="2"/>
  <c r="F6" i="2"/>
</calcChain>
</file>

<file path=xl/sharedStrings.xml><?xml version="1.0" encoding="utf-8"?>
<sst xmlns="http://schemas.openxmlformats.org/spreadsheetml/2006/main" count="90" uniqueCount="69">
  <si>
    <t>Resource Consumption</t>
  </si>
  <si>
    <t>Resource Type</t>
  </si>
  <si>
    <t>Unit</t>
  </si>
  <si>
    <t>Chair</t>
  </si>
  <si>
    <t>Desk</t>
  </si>
  <si>
    <t>Bookshelf</t>
  </si>
  <si>
    <t>Available Limit (Stock)</t>
  </si>
  <si>
    <t>Wood</t>
  </si>
  <si>
    <t>Labor</t>
  </si>
  <si>
    <t>Machine Time</t>
  </si>
  <si>
    <t>Glue</t>
  </si>
  <si>
    <t>Project Costing Overview</t>
  </si>
  <si>
    <t>Profitability</t>
  </si>
  <si>
    <t>Metric</t>
  </si>
  <si>
    <t>Profit per Unit</t>
  </si>
  <si>
    <t>Units to Produce</t>
  </si>
  <si>
    <t>Total Profit</t>
  </si>
  <si>
    <t>Total Used</t>
  </si>
  <si>
    <t>Total Profit Chair</t>
  </si>
  <si>
    <t>Units to Produce Chair</t>
  </si>
  <si>
    <t>Units to Produce Desk</t>
  </si>
  <si>
    <t>Units to Produce Bookshelf</t>
  </si>
  <si>
    <r>
      <t>Production Focus:</t>
    </r>
    <r>
      <rPr>
        <sz val="11"/>
        <color theme="1"/>
        <rFont val="Calibri"/>
        <family val="2"/>
        <scheme val="minor"/>
      </rPr>
      <t xml:space="preserve"> High volume of Chairs (68 units) and Desks (10 units).</t>
    </r>
  </si>
  <si>
    <r>
      <rPr>
        <b/>
        <sz val="11"/>
        <color theme="1"/>
        <rFont val="Calibri"/>
        <family val="2"/>
        <charset val="204"/>
        <scheme val="minor"/>
      </rPr>
      <t>Executive Summary:</t>
    </r>
    <r>
      <rPr>
        <sz val="11"/>
        <color theme="1"/>
        <rFont val="Calibri"/>
        <family val="2"/>
        <scheme val="minor"/>
      </rPr>
      <t xml:space="preserve"> The optimal production mix maximizes profit at $4,440.</t>
    </r>
  </si>
  <si>
    <t>Value</t>
  </si>
  <si>
    <t>Strategic Insight (Bottleneck Analysis):</t>
  </si>
  <si>
    <r>
      <t>Wood is Valuable:</t>
    </r>
    <r>
      <rPr>
        <sz val="11"/>
        <color theme="1"/>
        <rFont val="Calibri"/>
        <family val="2"/>
        <scheme val="minor"/>
      </rPr>
      <t xml:space="preserve"> Each additional meter of wood yields </t>
    </r>
    <r>
      <rPr>
        <b/>
        <sz val="11"/>
        <color theme="1"/>
        <rFont val="Calibri"/>
        <family val="2"/>
        <scheme val="minor"/>
      </rPr>
      <t>$3.6</t>
    </r>
    <r>
      <rPr>
        <sz val="11"/>
        <color theme="1"/>
        <rFont val="Calibri"/>
        <family val="2"/>
        <scheme val="minor"/>
      </rPr>
      <t xml:space="preserve"> in extra profit.</t>
    </r>
  </si>
  <si>
    <t>Operational Limits</t>
  </si>
  <si>
    <t>Result</t>
  </si>
  <si>
    <r>
      <t>Labor is Critical:</t>
    </r>
    <r>
      <rPr>
        <sz val="11"/>
        <color theme="1"/>
        <rFont val="Calibri"/>
        <family val="2"/>
        <scheme val="minor"/>
      </rPr>
      <t xml:space="preserve"> The Shadow Price for Labor is </t>
    </r>
    <r>
      <rPr>
        <b/>
        <sz val="11"/>
        <color theme="1"/>
        <rFont val="Calibri"/>
        <family val="2"/>
        <scheme val="minor"/>
      </rPr>
      <t>$6.6</t>
    </r>
    <r>
      <rPr>
        <sz val="11"/>
        <color theme="1"/>
        <rFont val="Calibri"/>
        <family val="2"/>
        <scheme val="minor"/>
      </rPr>
      <t xml:space="preserve">. This means hiring 1 extra hour of labor would increase profit by $6.6. </t>
    </r>
  </si>
  <si>
    <t>Since hourly wage is likely lower than this, expanding the workforce is recommended.</t>
  </si>
  <si>
    <r>
      <t>Non-Constraints:</t>
    </r>
    <r>
      <rPr>
        <sz val="11"/>
        <color theme="1"/>
        <rFont val="Calibri"/>
        <family val="2"/>
        <scheme val="minor"/>
      </rPr>
      <t xml:space="preserve"> Glue and Machine Time have a Shadow Price of $0. </t>
    </r>
  </si>
  <si>
    <t>Investing in more glue or machines will not increase profit at this stage.</t>
  </si>
  <si>
    <r>
      <t>Resource Utilization:</t>
    </r>
    <r>
      <rPr>
        <sz val="11"/>
        <color theme="1"/>
        <rFont val="Calibri"/>
        <family val="2"/>
        <scheme val="minor"/>
      </rPr>
      <t xml:space="preserve"> Wood and Labor are fully utilized (0 slack), acting as the primary constraints. </t>
    </r>
  </si>
  <si>
    <t>Machine Time has unused capacity (4 hours), indicating no immediate need for equipment upgrades.</t>
  </si>
  <si>
    <r>
      <t>Tolerance Analysis:</t>
    </r>
    <r>
      <rPr>
        <sz val="11"/>
        <color theme="1"/>
        <rFont val="Calibri"/>
        <family val="2"/>
        <scheme val="minor"/>
      </rPr>
      <t xml:space="preserve"> This report outlines the valid range for production quantities. </t>
    </r>
  </si>
  <si>
    <t>It confirms that the current product mix is stable within the calculated operational boundaries without violating resource constraints.</t>
  </si>
  <si>
    <t>Production Plan</t>
  </si>
  <si>
    <t>Name (Metric)</t>
  </si>
  <si>
    <t>Final Value (Result)</t>
  </si>
  <si>
    <t>Constraints</t>
  </si>
  <si>
    <t>Constraint Name</t>
  </si>
  <si>
    <t>Value Used</t>
  </si>
  <si>
    <t>Status</t>
  </si>
  <si>
    <t>Binding</t>
  </si>
  <si>
    <t>Not Binding</t>
  </si>
  <si>
    <t>Wood Used</t>
  </si>
  <si>
    <t>Labor Used</t>
  </si>
  <si>
    <t>Machine Time Used</t>
  </si>
  <si>
    <t>Glue Used</t>
  </si>
  <si>
    <t>Slack (Leftover)</t>
  </si>
  <si>
    <t>Variable Cells</t>
  </si>
  <si>
    <t>Name</t>
  </si>
  <si>
    <t>Final Value</t>
  </si>
  <si>
    <t>Reduced Cost</t>
  </si>
  <si>
    <t>Objective Coefficient</t>
  </si>
  <si>
    <t>Shadow Price</t>
  </si>
  <si>
    <t>Constraint R.H. Side</t>
  </si>
  <si>
    <t>Lower Limit</t>
  </si>
  <si>
    <t>Upper Limit</t>
  </si>
  <si>
    <t>Objective Result</t>
  </si>
  <si>
    <t>Meters</t>
  </si>
  <si>
    <t>Hours</t>
  </si>
  <si>
    <t>Liters</t>
  </si>
  <si>
    <r>
      <rPr>
        <b/>
        <sz val="20"/>
        <color theme="1"/>
        <rFont val="Calibri"/>
        <family val="2"/>
        <charset val="204"/>
        <scheme val="minor"/>
      </rPr>
      <t>Project Objective:</t>
    </r>
    <r>
      <rPr>
        <sz val="20"/>
        <color theme="1"/>
        <rFont val="Calibri"/>
        <family val="2"/>
        <charset val="204"/>
        <scheme val="minor"/>
      </rPr>
      <t xml:space="preserve"> To determine the optimal daily production mix for a furniture manufacturing plant. The goal was to maximize Total Profit while strictly adhering to resource constraints (raw materials, labor hours, and machine capacity) using Linear Programming techniques.</t>
    </r>
  </si>
  <si>
    <r>
      <rPr>
        <b/>
        <sz val="20"/>
        <color theme="1"/>
        <rFont val="Calibri"/>
        <family val="2"/>
        <charset val="204"/>
        <scheme val="minor"/>
      </rPr>
      <t>Author:</t>
    </r>
    <r>
      <rPr>
        <sz val="20"/>
        <color theme="1"/>
        <rFont val="Calibri"/>
        <family val="2"/>
        <charset val="204"/>
        <scheme val="minor"/>
      </rPr>
      <t xml:space="preserve"> Yaroslav Pryimak</t>
    </r>
  </si>
  <si>
    <r>
      <rPr>
        <b/>
        <sz val="20"/>
        <color theme="1"/>
        <rFont val="Calibri"/>
        <family val="2"/>
        <charset val="204"/>
        <scheme val="minor"/>
      </rPr>
      <t>Project Title:</t>
    </r>
    <r>
      <rPr>
        <sz val="20"/>
        <color theme="1"/>
        <rFont val="Calibri"/>
        <family val="2"/>
        <charset val="204"/>
        <scheme val="minor"/>
      </rPr>
      <t xml:space="preserve"> Supply Chain Optimization &amp; Production Planning</t>
    </r>
  </si>
  <si>
    <r>
      <rPr>
        <b/>
        <sz val="20"/>
        <color theme="1"/>
        <rFont val="Calibri"/>
        <family val="2"/>
        <charset val="204"/>
        <scheme val="minor"/>
      </rPr>
      <t>Key Skills Demonstrated:</t>
    </r>
    <r>
      <rPr>
        <sz val="20"/>
        <color theme="1"/>
        <rFont val="Calibri"/>
        <family val="2"/>
        <scheme val="minor"/>
      </rPr>
      <t xml:space="preserve">
• </t>
    </r>
    <r>
      <rPr>
        <b/>
        <sz val="20"/>
        <color theme="1"/>
        <rFont val="Calibri"/>
        <family val="2"/>
        <charset val="204"/>
        <scheme val="minor"/>
      </rPr>
      <t>Linear Programming (Solver):</t>
    </r>
    <r>
      <rPr>
        <sz val="20"/>
        <color theme="1"/>
        <rFont val="Calibri"/>
        <family val="2"/>
        <scheme val="minor"/>
      </rPr>
      <t xml:space="preserve"> Built a mathematical model defining decision variables, objective functions, and inequality constraints.
• </t>
    </r>
    <r>
      <rPr>
        <b/>
        <sz val="20"/>
        <color theme="1"/>
        <rFont val="Calibri"/>
        <family val="2"/>
        <charset val="204"/>
        <scheme val="minor"/>
      </rPr>
      <t>Data Modeling:</t>
    </r>
    <r>
      <rPr>
        <sz val="20"/>
        <color theme="1"/>
        <rFont val="Calibri"/>
        <family val="2"/>
        <scheme val="minor"/>
      </rPr>
      <t xml:space="preserve"> Structured unstructured production data into a dynamic model using SUMPRODUCT for scalable calculations.
• </t>
    </r>
    <r>
      <rPr>
        <b/>
        <sz val="20"/>
        <color theme="1"/>
        <rFont val="Calibri"/>
        <family val="2"/>
        <charset val="204"/>
        <scheme val="minor"/>
      </rPr>
      <t>Sensitivity Analysis:</t>
    </r>
    <r>
      <rPr>
        <sz val="20"/>
        <color theme="1"/>
        <rFont val="Calibri"/>
        <family val="2"/>
        <scheme val="minor"/>
      </rPr>
      <t xml:space="preserve"> Generated and interpreted Sensitivity Reports to identify "Bottlenecks" and calculated "Shadow Prices" to value   additional resources.
• </t>
    </r>
    <r>
      <rPr>
        <b/>
        <sz val="20"/>
        <color theme="1"/>
        <rFont val="Calibri"/>
        <family val="2"/>
        <charset val="204"/>
        <scheme val="minor"/>
      </rPr>
      <t>Scenario Planning:</t>
    </r>
    <r>
      <rPr>
        <sz val="20"/>
        <color theme="1"/>
        <rFont val="Calibri"/>
        <family val="2"/>
        <scheme val="minor"/>
      </rPr>
      <t xml:space="preserve"> Compared theoretical profitability (continuous variables) vs. realistic operational plans (integer constraints).
• </t>
    </r>
    <r>
      <rPr>
        <b/>
        <sz val="20"/>
        <color theme="1"/>
        <rFont val="Calibri"/>
        <family val="2"/>
        <charset val="204"/>
        <scheme val="minor"/>
      </rPr>
      <t>Reporting:</t>
    </r>
    <r>
      <rPr>
        <sz val="20"/>
        <color theme="1"/>
        <rFont val="Calibri"/>
        <family val="2"/>
        <scheme val="minor"/>
      </rPr>
      <t xml:space="preserve"> Translated technical Solver outputs into executive-level summaries with strategic recommendations.</t>
    </r>
  </si>
  <si>
    <r>
      <rPr>
        <b/>
        <sz val="20"/>
        <color theme="1"/>
        <rFont val="Calibri"/>
        <family val="2"/>
        <charset val="204"/>
        <scheme val="minor"/>
      </rPr>
      <t>Methodology:</t>
    </r>
    <r>
      <rPr>
        <sz val="20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charset val="204"/>
        <scheme val="minor"/>
      </rPr>
      <t>• Objective Function:</t>
    </r>
    <r>
      <rPr>
        <sz val="20"/>
        <color theme="1"/>
        <rFont val="Calibri"/>
        <family val="2"/>
        <scheme val="minor"/>
      </rPr>
      <t xml:space="preserve"> Maximize $ Profit = (Chairs × Margin) + (Desks × Margin) + (Bookshelves × Margin).
</t>
    </r>
    <r>
      <rPr>
        <b/>
        <sz val="20"/>
        <color theme="1"/>
        <rFont val="Calibri"/>
        <family val="2"/>
        <charset val="204"/>
        <scheme val="minor"/>
      </rPr>
      <t>• Constraints:</t>
    </r>
    <r>
      <rPr>
        <sz val="20"/>
        <color theme="1"/>
        <rFont val="Calibri"/>
        <family val="2"/>
        <scheme val="minor"/>
      </rPr>
      <t xml:space="preserve"> Defined 4 operational constraints: Wood Supply, Labor Hours (Binding), Machine Capacity, and Glue Inventory (Non-Binding)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</si>
</sst>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164" formatCode="0.0"/>
    <numFmt numFmtId="165" formatCode="[$$-409]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23"/>
      </top>
      <bottom style="medium">
        <color theme="0" tint="-0.499984740745262"/>
      </bottom>
      <diagonal/>
    </border>
    <border>
      <left/>
      <right/>
      <top style="medium">
        <color indexed="23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indexed="23"/>
      </top>
      <bottom style="medium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4" xfId="0" applyFill="1" applyBorder="1" applyAlignment="1"/>
    <xf numFmtId="0" fontId="4" fillId="0" borderId="3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4" fillId="0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6" xfId="0" applyBorder="1"/>
    <xf numFmtId="0" fontId="6" fillId="4" borderId="7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165" fontId="0" fillId="0" borderId="4" xfId="0" applyNumberFormat="1" applyFill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/>
    </xf>
    <xf numFmtId="0" fontId="0" fillId="0" borderId="8" xfId="0" applyFill="1" applyBorder="1" applyAlignment="1"/>
    <xf numFmtId="0" fontId="0" fillId="0" borderId="8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0" fillId="0" borderId="16" xfId="0" applyBorder="1"/>
    <xf numFmtId="0" fontId="4" fillId="0" borderId="1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4" xfId="0" applyNumberFormat="1" applyFill="1" applyBorder="1" applyAlignment="1">
      <alignment horizontal="center"/>
    </xf>
    <xf numFmtId="165" fontId="0" fillId="0" borderId="4" xfId="1" applyNumberFormat="1" applyFont="1" applyFill="1" applyBorder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165" fontId="0" fillId="0" borderId="5" xfId="1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7" fillId="0" borderId="18" xfId="0" applyFont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" fontId="0" fillId="2" borderId="18" xfId="0" applyNumberFormat="1" applyFill="1" applyBorder="1" applyAlignment="1">
      <alignment horizontal="center"/>
    </xf>
    <xf numFmtId="164" fontId="0" fillId="2" borderId="18" xfId="0" applyNumberFormat="1" applyFill="1" applyBorder="1" applyAlignment="1">
      <alignment horizontal="center"/>
    </xf>
    <xf numFmtId="165" fontId="0" fillId="2" borderId="18" xfId="0" applyNumberFormat="1" applyFill="1" applyBorder="1" applyAlignment="1">
      <alignment horizont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horizontal="left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AC34"/>
  <sheetViews>
    <sheetView showGridLines="0" tabSelected="1" workbookViewId="0"/>
  </sheetViews>
  <sheetFormatPr defaultRowHeight="15" x14ac:dyDescent="0.25"/>
  <sheetData>
    <row r="3" spans="5:29" ht="15" customHeight="1" x14ac:dyDescent="0.45">
      <c r="E3" s="59" t="s">
        <v>66</v>
      </c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6"/>
      <c r="V3" s="56"/>
      <c r="W3" s="56"/>
      <c r="X3" s="56"/>
      <c r="Y3" s="56"/>
      <c r="Z3" s="56"/>
      <c r="AA3" s="56"/>
      <c r="AB3" s="57"/>
    </row>
    <row r="4" spans="5:29" ht="15" customHeight="1" x14ac:dyDescent="0.45"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6"/>
      <c r="V4" s="56"/>
      <c r="W4" s="56"/>
      <c r="X4" s="56"/>
      <c r="Y4" s="56"/>
      <c r="Z4" s="56"/>
      <c r="AA4" s="56"/>
      <c r="AB4" s="57"/>
    </row>
    <row r="5" spans="5:29" ht="15" customHeight="1" x14ac:dyDescent="0.45">
      <c r="E5" s="59" t="s">
        <v>65</v>
      </c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6"/>
      <c r="S5" s="56"/>
      <c r="T5" s="56"/>
      <c r="U5" s="56"/>
      <c r="V5" s="56"/>
      <c r="W5" s="56"/>
      <c r="X5" s="56"/>
      <c r="Y5" s="56"/>
      <c r="Z5" s="56"/>
      <c r="AA5" s="56"/>
      <c r="AB5" s="57"/>
    </row>
    <row r="6" spans="5:29" ht="15" customHeight="1" x14ac:dyDescent="0.25"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</row>
    <row r="7" spans="5:29" ht="15" customHeight="1" x14ac:dyDescent="0.25">
      <c r="E7" s="60" t="s">
        <v>64</v>
      </c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</row>
    <row r="8" spans="5:29" ht="15" customHeight="1" x14ac:dyDescent="0.25"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54"/>
    </row>
    <row r="9" spans="5:29" ht="15" customHeight="1" x14ac:dyDescent="0.25"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54"/>
    </row>
    <row r="10" spans="5:29" ht="15" customHeight="1" x14ac:dyDescent="0.25"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54"/>
    </row>
    <row r="11" spans="5:29" ht="15" customHeight="1" x14ac:dyDescent="0.25">
      <c r="E11" s="58" t="s">
        <v>67</v>
      </c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4"/>
    </row>
    <row r="12" spans="5:29" ht="15" customHeight="1" x14ac:dyDescent="0.25"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4"/>
    </row>
    <row r="13" spans="5:29" ht="15" customHeight="1" x14ac:dyDescent="0.25"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4"/>
    </row>
    <row r="14" spans="5:29" ht="15" customHeight="1" x14ac:dyDescent="0.25"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4"/>
    </row>
    <row r="15" spans="5:29" ht="15" customHeight="1" x14ac:dyDescent="0.25"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</row>
    <row r="16" spans="5:29" ht="15" customHeight="1" x14ac:dyDescent="0.25"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</row>
    <row r="17" spans="5:28" ht="15" customHeight="1" x14ac:dyDescent="0.25"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</row>
    <row r="18" spans="5:28" ht="15" customHeight="1" x14ac:dyDescent="0.25"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</row>
    <row r="19" spans="5:28" ht="15" customHeight="1" x14ac:dyDescent="0.25"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</row>
    <row r="20" spans="5:28" ht="15" customHeight="1" x14ac:dyDescent="0.25"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</row>
    <row r="21" spans="5:28" ht="15" customHeight="1" x14ac:dyDescent="0.25"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</row>
    <row r="22" spans="5:28" ht="15" customHeight="1" x14ac:dyDescent="0.25"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</row>
    <row r="23" spans="5:28" ht="15" customHeight="1" x14ac:dyDescent="0.25">
      <c r="E23" s="63" t="s">
        <v>68</v>
      </c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</row>
    <row r="24" spans="5:28" ht="15" customHeight="1" x14ac:dyDescent="0.25"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</row>
    <row r="25" spans="5:28" ht="15" customHeight="1" x14ac:dyDescent="0.25"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</row>
    <row r="26" spans="5:28" ht="15" customHeight="1" x14ac:dyDescent="0.25"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</row>
    <row r="27" spans="5:28" ht="15" customHeight="1" x14ac:dyDescent="0.25"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</row>
    <row r="28" spans="5:28" ht="15" customHeight="1" x14ac:dyDescent="0.25"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</row>
    <row r="29" spans="5:28" ht="15" customHeight="1" x14ac:dyDescent="0.25"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</row>
    <row r="30" spans="5:28" ht="15" customHeight="1" x14ac:dyDescent="0.25"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</row>
    <row r="31" spans="5:28" ht="15" customHeight="1" x14ac:dyDescent="0.25"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</row>
    <row r="32" spans="5:28" ht="15" customHeight="1" x14ac:dyDescent="0.25"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</row>
    <row r="33" spans="5:28" ht="15" customHeight="1" x14ac:dyDescent="0.25"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</row>
    <row r="34" spans="5:28" ht="15" customHeight="1" x14ac:dyDescent="0.25"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</sheetData>
  <mergeCells count="5">
    <mergeCell ref="E23:AB28"/>
    <mergeCell ref="E3:T4"/>
    <mergeCell ref="E5:Q6"/>
    <mergeCell ref="E7:AB10"/>
    <mergeCell ref="E11:AB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sqref="A1:G2"/>
    </sheetView>
  </sheetViews>
  <sheetFormatPr defaultRowHeight="15" x14ac:dyDescent="0.25"/>
  <cols>
    <col min="1" max="1" width="15.85546875" customWidth="1"/>
    <col min="2" max="2" width="8.140625" customWidth="1"/>
    <col min="3" max="3" width="5.5703125" bestFit="1" customWidth="1"/>
    <col min="4" max="4" width="9.85546875" bestFit="1" customWidth="1"/>
    <col min="5" max="5" width="11.140625" customWidth="1"/>
    <col min="6" max="6" width="10.28515625" bestFit="1" customWidth="1"/>
    <col min="7" max="7" width="21" bestFit="1" customWidth="1"/>
  </cols>
  <sheetData>
    <row r="1" spans="1:7" x14ac:dyDescent="0.25">
      <c r="A1" s="12" t="s">
        <v>11</v>
      </c>
      <c r="B1" s="12"/>
      <c r="C1" s="12"/>
      <c r="D1" s="12"/>
      <c r="E1" s="12"/>
      <c r="F1" s="12"/>
      <c r="G1" s="12"/>
    </row>
    <row r="2" spans="1:7" x14ac:dyDescent="0.25">
      <c r="A2" s="12"/>
      <c r="B2" s="12"/>
      <c r="C2" s="12"/>
      <c r="D2" s="12"/>
      <c r="E2" s="12"/>
      <c r="F2" s="12"/>
      <c r="G2" s="12"/>
    </row>
    <row r="3" spans="1:7" ht="3.75" customHeight="1" thickBot="1" x14ac:dyDescent="0.3">
      <c r="A3" s="47"/>
      <c r="B3" s="47"/>
      <c r="C3" s="47"/>
      <c r="D3" s="47"/>
      <c r="E3" s="47"/>
      <c r="F3" s="47"/>
      <c r="G3" s="47"/>
    </row>
    <row r="4" spans="1:7" ht="15.75" thickBot="1" x14ac:dyDescent="0.3">
      <c r="A4" s="48" t="s">
        <v>0</v>
      </c>
      <c r="B4" s="48"/>
      <c r="C4" s="48"/>
      <c r="D4" s="48"/>
      <c r="E4" s="48"/>
      <c r="F4" s="48"/>
      <c r="G4" s="48"/>
    </row>
    <row r="5" spans="1:7" ht="15.75" thickBot="1" x14ac:dyDescent="0.3">
      <c r="A5" s="49" t="s">
        <v>1</v>
      </c>
      <c r="B5" s="49" t="s">
        <v>2</v>
      </c>
      <c r="C5" s="49" t="s">
        <v>3</v>
      </c>
      <c r="D5" s="49" t="s">
        <v>4</v>
      </c>
      <c r="E5" s="49" t="s">
        <v>5</v>
      </c>
      <c r="F5" s="49" t="s">
        <v>17</v>
      </c>
      <c r="G5" s="49" t="s">
        <v>6</v>
      </c>
    </row>
    <row r="6" spans="1:7" ht="15.75" thickBot="1" x14ac:dyDescent="0.3">
      <c r="A6" s="50" t="s">
        <v>7</v>
      </c>
      <c r="B6" s="50" t="s">
        <v>61</v>
      </c>
      <c r="C6" s="51">
        <v>7</v>
      </c>
      <c r="D6" s="51">
        <v>15</v>
      </c>
      <c r="E6" s="51">
        <v>12</v>
      </c>
      <c r="F6" s="50">
        <f>SUMPRODUCT($B$15:$D$15,C6:E6)</f>
        <v>650</v>
      </c>
      <c r="G6" s="51">
        <v>650</v>
      </c>
    </row>
    <row r="7" spans="1:7" ht="15.75" thickBot="1" x14ac:dyDescent="0.3">
      <c r="A7" s="50" t="s">
        <v>8</v>
      </c>
      <c r="B7" s="50" t="s">
        <v>62</v>
      </c>
      <c r="C7" s="51">
        <v>3</v>
      </c>
      <c r="D7" s="51">
        <v>10</v>
      </c>
      <c r="E7" s="51">
        <v>8</v>
      </c>
      <c r="F7" s="50">
        <f t="shared" ref="F7:F9" si="0">SUMPRODUCT($B$15:$D$15,C7:E7)</f>
        <v>320</v>
      </c>
      <c r="G7" s="51">
        <v>320</v>
      </c>
    </row>
    <row r="8" spans="1:7" ht="15.75" thickBot="1" x14ac:dyDescent="0.3">
      <c r="A8" s="50" t="s">
        <v>9</v>
      </c>
      <c r="B8" s="50" t="s">
        <v>62</v>
      </c>
      <c r="C8" s="52">
        <v>1.5</v>
      </c>
      <c r="D8" s="51">
        <v>4</v>
      </c>
      <c r="E8" s="51">
        <v>2</v>
      </c>
      <c r="F8" s="50">
        <f t="shared" si="0"/>
        <v>146</v>
      </c>
      <c r="G8" s="51">
        <v>150</v>
      </c>
    </row>
    <row r="9" spans="1:7" ht="15.75" thickBot="1" x14ac:dyDescent="0.3">
      <c r="A9" s="50" t="s">
        <v>10</v>
      </c>
      <c r="B9" s="50" t="s">
        <v>63</v>
      </c>
      <c r="C9" s="52">
        <v>0.5</v>
      </c>
      <c r="D9" s="51">
        <v>1</v>
      </c>
      <c r="E9" s="52">
        <v>0.8</v>
      </c>
      <c r="F9" s="50">
        <f t="shared" si="0"/>
        <v>45.6</v>
      </c>
      <c r="G9" s="51">
        <v>50</v>
      </c>
    </row>
    <row r="10" spans="1:7" ht="15.75" thickBot="1" x14ac:dyDescent="0.3"/>
    <row r="11" spans="1:7" ht="15.75" thickBot="1" x14ac:dyDescent="0.3">
      <c r="A11" s="48" t="s">
        <v>12</v>
      </c>
      <c r="B11" s="48"/>
      <c r="C11" s="48"/>
      <c r="D11" s="48"/>
    </row>
    <row r="12" spans="1:7" ht="15.75" thickBot="1" x14ac:dyDescent="0.3">
      <c r="A12" s="49" t="s">
        <v>13</v>
      </c>
      <c r="B12" s="49" t="s">
        <v>3</v>
      </c>
      <c r="C12" s="49" t="s">
        <v>4</v>
      </c>
      <c r="D12" s="49" t="s">
        <v>5</v>
      </c>
    </row>
    <row r="13" spans="1:7" ht="15.75" thickBot="1" x14ac:dyDescent="0.3">
      <c r="A13" s="50" t="s">
        <v>14</v>
      </c>
      <c r="B13" s="53">
        <v>45</v>
      </c>
      <c r="C13" s="53">
        <v>120</v>
      </c>
      <c r="D13" s="53">
        <v>90</v>
      </c>
    </row>
    <row r="14" spans="1:7" ht="15.75" thickBot="1" x14ac:dyDescent="0.3"/>
    <row r="15" spans="1:7" ht="15.75" thickBot="1" x14ac:dyDescent="0.3">
      <c r="A15" s="49" t="s">
        <v>15</v>
      </c>
      <c r="B15" s="50">
        <v>68</v>
      </c>
      <c r="C15" s="50">
        <v>10</v>
      </c>
      <c r="D15" s="50">
        <v>2</v>
      </c>
    </row>
    <row r="16" spans="1:7" ht="15.75" thickBot="1" x14ac:dyDescent="0.3"/>
    <row r="17" spans="1:2" ht="15.75" thickBot="1" x14ac:dyDescent="0.3">
      <c r="A17" s="49" t="s">
        <v>16</v>
      </c>
      <c r="B17" s="53">
        <f>SUMPRODUCT(B15:D15,B13:D13)</f>
        <v>4440</v>
      </c>
    </row>
  </sheetData>
  <mergeCells count="4">
    <mergeCell ref="A11:D11"/>
    <mergeCell ref="A1:G2"/>
    <mergeCell ref="A3:G3"/>
    <mergeCell ref="A4:G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/>
  </sheetViews>
  <sheetFormatPr defaultRowHeight="15" x14ac:dyDescent="0.25"/>
  <cols>
    <col min="1" max="1" width="2.28515625" customWidth="1"/>
    <col min="2" max="2" width="28.28515625" customWidth="1"/>
    <col min="3" max="3" width="25.28515625" customWidth="1"/>
    <col min="4" max="4" width="19.42578125" bestFit="1" customWidth="1"/>
    <col min="5" max="5" width="24.7109375" bestFit="1" customWidth="1"/>
    <col min="6" max="6" width="15.85546875" bestFit="1" customWidth="1"/>
    <col min="7" max="7" width="7.5703125" customWidth="1"/>
  </cols>
  <sheetData>
    <row r="1" spans="1:5" ht="15.75" thickBot="1" x14ac:dyDescent="0.3">
      <c r="A1" s="2"/>
      <c r="B1" s="14"/>
      <c r="C1" s="14"/>
    </row>
    <row r="2" spans="1:5" x14ac:dyDescent="0.25">
      <c r="A2" s="2"/>
      <c r="B2" s="12" t="s">
        <v>37</v>
      </c>
      <c r="C2" s="12"/>
    </row>
    <row r="3" spans="1:5" ht="15.75" thickBot="1" x14ac:dyDescent="0.3">
      <c r="A3" s="2"/>
      <c r="B3" s="13"/>
      <c r="C3" s="13"/>
    </row>
    <row r="4" spans="1:5" ht="15.75" thickBot="1" x14ac:dyDescent="0.3">
      <c r="B4" s="4" t="s">
        <v>38</v>
      </c>
      <c r="C4" s="4" t="s">
        <v>39</v>
      </c>
    </row>
    <row r="5" spans="1:5" ht="15.75" thickBot="1" x14ac:dyDescent="0.3">
      <c r="B5" s="3" t="s">
        <v>18</v>
      </c>
      <c r="C5" s="17">
        <v>4440</v>
      </c>
    </row>
    <row r="6" spans="1:5" x14ac:dyDescent="0.25">
      <c r="B6" s="6" t="s">
        <v>19</v>
      </c>
      <c r="C6" s="18">
        <v>68</v>
      </c>
    </row>
    <row r="7" spans="1:5" x14ac:dyDescent="0.25">
      <c r="B7" s="6" t="s">
        <v>20</v>
      </c>
      <c r="C7" s="18">
        <v>10</v>
      </c>
    </row>
    <row r="8" spans="1:5" ht="15.75" thickBot="1" x14ac:dyDescent="0.3">
      <c r="B8" s="3" t="s">
        <v>21</v>
      </c>
      <c r="C8" s="19">
        <v>2</v>
      </c>
    </row>
    <row r="10" spans="1:5" ht="15.75" thickBot="1" x14ac:dyDescent="0.3"/>
    <row r="11" spans="1:5" x14ac:dyDescent="0.25">
      <c r="B11" s="15" t="s">
        <v>40</v>
      </c>
      <c r="C11" s="15"/>
      <c r="D11" s="15"/>
      <c r="E11" s="15"/>
    </row>
    <row r="12" spans="1:5" ht="15.75" thickBot="1" x14ac:dyDescent="0.3">
      <c r="B12" s="13"/>
      <c r="C12" s="13"/>
      <c r="D12" s="13"/>
      <c r="E12" s="13"/>
    </row>
    <row r="13" spans="1:5" ht="15.75" thickBot="1" x14ac:dyDescent="0.3">
      <c r="B13" s="4" t="s">
        <v>41</v>
      </c>
      <c r="C13" s="4" t="s">
        <v>42</v>
      </c>
      <c r="D13" s="4" t="s">
        <v>43</v>
      </c>
      <c r="E13" s="4" t="s">
        <v>50</v>
      </c>
    </row>
    <row r="14" spans="1:5" x14ac:dyDescent="0.25">
      <c r="B14" s="6" t="s">
        <v>46</v>
      </c>
      <c r="C14" s="20">
        <v>650</v>
      </c>
      <c r="D14" s="16" t="s">
        <v>44</v>
      </c>
      <c r="E14" s="16">
        <v>0</v>
      </c>
    </row>
    <row r="15" spans="1:5" x14ac:dyDescent="0.25">
      <c r="B15" s="6" t="s">
        <v>47</v>
      </c>
      <c r="C15" s="20">
        <v>320</v>
      </c>
      <c r="D15" s="16" t="s">
        <v>44</v>
      </c>
      <c r="E15" s="16">
        <v>0</v>
      </c>
    </row>
    <row r="16" spans="1:5" x14ac:dyDescent="0.25">
      <c r="B16" s="6" t="s">
        <v>48</v>
      </c>
      <c r="C16" s="20">
        <v>146</v>
      </c>
      <c r="D16" s="16" t="s">
        <v>45</v>
      </c>
      <c r="E16" s="16">
        <v>4</v>
      </c>
    </row>
    <row r="17" spans="2:5" ht="15.75" thickBot="1" x14ac:dyDescent="0.3">
      <c r="B17" s="21" t="s">
        <v>49</v>
      </c>
      <c r="C17" s="22">
        <v>45.6</v>
      </c>
      <c r="D17" s="23" t="s">
        <v>45</v>
      </c>
      <c r="E17" s="23">
        <v>4.3999999999999986</v>
      </c>
    </row>
    <row r="20" spans="2:5" x14ac:dyDescent="0.25">
      <c r="B20" s="10" t="s">
        <v>23</v>
      </c>
    </row>
    <row r="21" spans="2:5" x14ac:dyDescent="0.25">
      <c r="B21" s="8" t="s">
        <v>22</v>
      </c>
    </row>
    <row r="22" spans="2:5" x14ac:dyDescent="0.25">
      <c r="B22" s="9" t="s">
        <v>33</v>
      </c>
    </row>
    <row r="23" spans="2:5" x14ac:dyDescent="0.25">
      <c r="B23" s="11" t="s">
        <v>34</v>
      </c>
    </row>
  </sheetData>
  <mergeCells count="2">
    <mergeCell ref="B2:C3"/>
    <mergeCell ref="B11:E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showGridLines="0" workbookViewId="0"/>
  </sheetViews>
  <sheetFormatPr defaultRowHeight="15" x14ac:dyDescent="0.25"/>
  <cols>
    <col min="1" max="1" width="2.28515625" customWidth="1"/>
    <col min="2" max="2" width="14" customWidth="1"/>
    <col min="3" max="3" width="12" customWidth="1"/>
    <col min="4" max="4" width="15.42578125" bestFit="1" customWidth="1"/>
    <col min="5" max="5" width="19.140625" customWidth="1"/>
    <col min="6" max="6" width="17.140625" customWidth="1"/>
  </cols>
  <sheetData>
    <row r="1" spans="1:5" ht="15.75" thickBot="1" x14ac:dyDescent="0.3">
      <c r="A1" s="2"/>
      <c r="B1" s="28"/>
      <c r="C1" s="28"/>
      <c r="D1" s="28"/>
      <c r="E1" s="28"/>
    </row>
    <row r="2" spans="1:5" x14ac:dyDescent="0.25">
      <c r="A2" s="2"/>
      <c r="B2" s="12" t="s">
        <v>51</v>
      </c>
      <c r="C2" s="12"/>
      <c r="D2" s="12"/>
      <c r="E2" s="12"/>
    </row>
    <row r="3" spans="1:5" ht="15.75" thickBot="1" x14ac:dyDescent="0.3">
      <c r="A3" s="2"/>
      <c r="B3" s="13"/>
      <c r="C3" s="13"/>
      <c r="D3" s="13"/>
      <c r="E3" s="13"/>
    </row>
    <row r="4" spans="1:5" ht="15.75" thickBot="1" x14ac:dyDescent="0.3">
      <c r="B4" s="29" t="s">
        <v>52</v>
      </c>
      <c r="C4" s="24" t="s">
        <v>53</v>
      </c>
      <c r="D4" s="24" t="s">
        <v>54</v>
      </c>
      <c r="E4" s="7" t="s">
        <v>55</v>
      </c>
    </row>
    <row r="5" spans="1:5" x14ac:dyDescent="0.25">
      <c r="B5" s="5" t="s">
        <v>3</v>
      </c>
      <c r="C5" s="30">
        <v>68</v>
      </c>
      <c r="D5" s="31">
        <v>0</v>
      </c>
      <c r="E5" s="32">
        <f>'Production Model'!B13</f>
        <v>45</v>
      </c>
    </row>
    <row r="6" spans="1:5" x14ac:dyDescent="0.25">
      <c r="B6" s="6" t="s">
        <v>4</v>
      </c>
      <c r="C6" s="16">
        <v>11.600000000000001</v>
      </c>
      <c r="D6" s="33">
        <v>0</v>
      </c>
      <c r="E6" s="34">
        <f>'Production Model'!C13</f>
        <v>120</v>
      </c>
    </row>
    <row r="7" spans="1:5" ht="15.75" thickBot="1" x14ac:dyDescent="0.3">
      <c r="B7" s="3" t="s">
        <v>5</v>
      </c>
      <c r="C7" s="35">
        <v>0</v>
      </c>
      <c r="D7" s="36">
        <v>-5.9999999999999716</v>
      </c>
      <c r="E7" s="37">
        <f>'Production Model'!D13</f>
        <v>90</v>
      </c>
    </row>
    <row r="9" spans="1:5" ht="15.75" thickBot="1" x14ac:dyDescent="0.3">
      <c r="B9" s="28"/>
      <c r="C9" s="28"/>
      <c r="D9" s="28"/>
      <c r="E9" s="28"/>
    </row>
    <row r="10" spans="1:5" x14ac:dyDescent="0.25">
      <c r="B10" s="26" t="s">
        <v>40</v>
      </c>
      <c r="C10" s="26"/>
      <c r="D10" s="26"/>
      <c r="E10" s="26"/>
    </row>
    <row r="11" spans="1:5" ht="15.75" thickBot="1" x14ac:dyDescent="0.3">
      <c r="B11" s="27"/>
      <c r="C11" s="27"/>
      <c r="D11" s="27"/>
      <c r="E11" s="27"/>
    </row>
    <row r="12" spans="1:5" ht="15.75" thickBot="1" x14ac:dyDescent="0.3">
      <c r="B12" s="25" t="s">
        <v>52</v>
      </c>
      <c r="C12" s="25" t="s">
        <v>53</v>
      </c>
      <c r="D12" s="25" t="s">
        <v>56</v>
      </c>
      <c r="E12" s="25" t="s">
        <v>57</v>
      </c>
    </row>
    <row r="13" spans="1:5" x14ac:dyDescent="0.25">
      <c r="B13" s="5" t="s">
        <v>46</v>
      </c>
      <c r="C13" s="30">
        <v>650</v>
      </c>
      <c r="D13" s="30">
        <v>3.6000000000000014</v>
      </c>
      <c r="E13" s="38">
        <f>'Production Model'!G6</f>
        <v>650</v>
      </c>
    </row>
    <row r="14" spans="1:5" x14ac:dyDescent="0.25">
      <c r="B14" s="6" t="s">
        <v>47</v>
      </c>
      <c r="C14" s="16">
        <v>320</v>
      </c>
      <c r="D14" s="16">
        <v>6.5999999999999943</v>
      </c>
      <c r="E14" s="39">
        <f>'Production Model'!G7</f>
        <v>320</v>
      </c>
    </row>
    <row r="15" spans="1:5" x14ac:dyDescent="0.25">
      <c r="B15" s="6" t="s">
        <v>9</v>
      </c>
      <c r="C15" s="16">
        <v>148.4</v>
      </c>
      <c r="D15" s="16">
        <v>0</v>
      </c>
      <c r="E15" s="39">
        <f>'Production Model'!G8</f>
        <v>150</v>
      </c>
    </row>
    <row r="16" spans="1:5" ht="15.75" thickBot="1" x14ac:dyDescent="0.3">
      <c r="B16" s="3" t="s">
        <v>49</v>
      </c>
      <c r="C16" s="35">
        <v>45.6</v>
      </c>
      <c r="D16" s="35">
        <v>0</v>
      </c>
      <c r="E16" s="40">
        <f>'Production Model'!G9</f>
        <v>50</v>
      </c>
    </row>
    <row r="19" spans="2:2" x14ac:dyDescent="0.25">
      <c r="B19" s="8" t="s">
        <v>25</v>
      </c>
    </row>
    <row r="20" spans="2:2" x14ac:dyDescent="0.25">
      <c r="B20" s="8" t="s">
        <v>29</v>
      </c>
    </row>
    <row r="21" spans="2:2" x14ac:dyDescent="0.25">
      <c r="B21" t="s">
        <v>30</v>
      </c>
    </row>
    <row r="22" spans="2:2" x14ac:dyDescent="0.25">
      <c r="B22" s="8" t="s">
        <v>26</v>
      </c>
    </row>
    <row r="23" spans="2:2" x14ac:dyDescent="0.25">
      <c r="B23" s="9" t="s">
        <v>31</v>
      </c>
    </row>
    <row r="24" spans="2:2" x14ac:dyDescent="0.25">
      <c r="B24" t="s">
        <v>32</v>
      </c>
    </row>
  </sheetData>
  <mergeCells count="2">
    <mergeCell ref="B2:E3"/>
    <mergeCell ref="B10:E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/>
  </sheetViews>
  <sheetFormatPr defaultRowHeight="15" x14ac:dyDescent="0.25"/>
  <cols>
    <col min="1" max="1" width="2.28515625" customWidth="1"/>
    <col min="2" max="2" width="25.140625" customWidth="1"/>
    <col min="3" max="3" width="14.5703125" customWidth="1"/>
    <col min="4" max="4" width="11.5703125" customWidth="1"/>
    <col min="5" max="5" width="14.140625" customWidth="1"/>
    <col min="6" max="6" width="10.28515625" customWidth="1"/>
    <col min="7" max="7" width="17.42578125" bestFit="1" customWidth="1"/>
    <col min="8" max="8" width="9.85546875" customWidth="1"/>
    <col min="9" max="9" width="8.85546875" customWidth="1"/>
    <col min="10" max="10" width="17.42578125" bestFit="1" customWidth="1"/>
  </cols>
  <sheetData>
    <row r="1" spans="1:7" ht="15.75" thickBot="1" x14ac:dyDescent="0.3">
      <c r="A1" s="2"/>
      <c r="B1" s="28"/>
      <c r="C1" s="28"/>
      <c r="D1" s="28"/>
      <c r="E1" s="28"/>
      <c r="F1" s="28"/>
      <c r="G1" s="28"/>
    </row>
    <row r="2" spans="1:7" x14ac:dyDescent="0.25">
      <c r="A2" s="2"/>
      <c r="B2" s="12" t="s">
        <v>27</v>
      </c>
      <c r="C2" s="12"/>
      <c r="D2" s="12"/>
      <c r="E2" s="12"/>
      <c r="F2" s="12"/>
      <c r="G2" s="12"/>
    </row>
    <row r="3" spans="1:7" ht="15.75" thickBot="1" x14ac:dyDescent="0.3">
      <c r="A3" s="2"/>
      <c r="B3" s="12"/>
      <c r="C3" s="12"/>
      <c r="D3" s="12"/>
      <c r="E3" s="12"/>
      <c r="F3" s="12"/>
      <c r="G3" s="12"/>
    </row>
    <row r="4" spans="1:7" ht="15.75" thickBot="1" x14ac:dyDescent="0.3">
      <c r="B4" s="24" t="s">
        <v>52</v>
      </c>
      <c r="C4" s="41" t="s">
        <v>24</v>
      </c>
      <c r="D4" s="24" t="s">
        <v>58</v>
      </c>
      <c r="E4" s="24" t="s">
        <v>59</v>
      </c>
      <c r="F4" s="24" t="s">
        <v>28</v>
      </c>
      <c r="G4" s="24" t="s">
        <v>60</v>
      </c>
    </row>
    <row r="5" spans="1:7" x14ac:dyDescent="0.25">
      <c r="B5" s="5" t="s">
        <v>19</v>
      </c>
      <c r="C5" s="42">
        <v>68</v>
      </c>
      <c r="D5" s="42">
        <v>0</v>
      </c>
      <c r="E5" s="42">
        <v>68</v>
      </c>
      <c r="F5" s="45">
        <v>1392.0000000000002</v>
      </c>
      <c r="G5" s="45">
        <v>4452</v>
      </c>
    </row>
    <row r="6" spans="1:7" x14ac:dyDescent="0.25">
      <c r="B6" s="6" t="s">
        <v>20</v>
      </c>
      <c r="C6" s="20">
        <v>11.600000000000001</v>
      </c>
      <c r="D6" s="20">
        <v>0</v>
      </c>
      <c r="E6" s="20">
        <v>11.600000000000001</v>
      </c>
      <c r="F6" s="46">
        <v>3060</v>
      </c>
      <c r="G6" s="46">
        <v>4452</v>
      </c>
    </row>
    <row r="7" spans="1:7" ht="15.75" thickBot="1" x14ac:dyDescent="0.3">
      <c r="B7" s="3" t="s">
        <v>21</v>
      </c>
      <c r="C7" s="43">
        <v>0</v>
      </c>
      <c r="D7" s="43">
        <v>0</v>
      </c>
      <c r="E7" s="43">
        <v>0</v>
      </c>
      <c r="F7" s="44">
        <v>4452</v>
      </c>
      <c r="G7" s="44">
        <v>4452</v>
      </c>
    </row>
    <row r="8" spans="1:7" ht="15.75" thickBot="1" x14ac:dyDescent="0.3">
      <c r="B8" s="3" t="s">
        <v>18</v>
      </c>
      <c r="C8" s="44">
        <v>4452</v>
      </c>
      <c r="D8" s="1"/>
      <c r="E8" s="1"/>
      <c r="F8" s="1"/>
      <c r="G8" s="1"/>
    </row>
    <row r="11" spans="1:7" x14ac:dyDescent="0.25">
      <c r="B11" s="8" t="s">
        <v>35</v>
      </c>
    </row>
    <row r="12" spans="1:7" x14ac:dyDescent="0.25">
      <c r="B12" t="s">
        <v>36</v>
      </c>
    </row>
  </sheetData>
  <mergeCells count="1">
    <mergeCell ref="B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About</vt:lpstr>
      <vt:lpstr>Production Model</vt:lpstr>
      <vt:lpstr>Answer Report</vt:lpstr>
      <vt:lpstr>Sensitivity Report</vt:lpstr>
      <vt:lpstr>Limits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2026-02-03T16:45:45Z</dcterms:modified>
</cp:coreProperties>
</file>